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Viajes" sheetId="2" state="visible" r:id="rId2"/>
    <sheet xmlns:r="http://schemas.openxmlformats.org/officeDocument/2006/relationships" name="Conteo por UN" sheetId="3" state="visible" r:id="rId3"/>
  </sheets>
  <definedNames>
    <definedName name="_xlnm._FilterDatabase" localSheetId="1" hidden="1">'Viajes'!$A$1:$AD$3</definedName>
  </definedNames>
  <calcPr calcId="0" fullCalcOnLoad="1"/>
  <pivotCaches>
    <pivotCache xmlns:r="http://schemas.openxmlformats.org/officeDocument/2006/relationships" cacheId="16" r:id="rId4"/>
  </pivotCaches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"/>
    <numFmt numFmtId="166" formatCode="\$#,##0"/>
    <numFmt numFmtId="167" formatCode="&quot;$&quot;#,##0"/>
  </numFmts>
  <fonts count="11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141F46"/>
      <sz val="20"/>
    </font>
    <font>
      <name val="Arial"/>
      <family val="2"/>
      <color rgb="FF808080"/>
      <sz val="10"/>
    </font>
    <font>
      <name val="Arial"/>
      <b val="1"/>
      <color rgb="001B2559"/>
      <sz val="12"/>
    </font>
    <font>
      <name val="Arial"/>
      <b val="1"/>
      <color rgb="004F46E5"/>
      <sz val="10"/>
    </font>
    <font>
      <name val="Arial"/>
      <b val="1"/>
      <color rgb="00A3AED0"/>
      <sz val="8"/>
    </font>
    <font>
      <name val="Arial"/>
      <b val="1"/>
      <color rgb="001B2559"/>
      <sz val="10"/>
    </font>
    <font>
      <name val="Arial"/>
      <color rgb="001B2559"/>
      <sz val="10"/>
    </font>
  </fonts>
  <fills count="4">
    <fill>
      <patternFill/>
    </fill>
    <fill>
      <patternFill patternType="gray125"/>
    </fill>
    <fill>
      <patternFill patternType="solid">
        <fgColor rgb="FF141F46"/>
      </patternFill>
    </fill>
    <fill>
      <patternFill patternType="solid">
        <fgColor rgb="00F4F7FE"/>
      </patternFill>
    </fill>
  </fills>
  <borders count="4">
    <border>
      <left/>
      <right/>
      <top/>
      <bottom/>
      <diagonal/>
    </border>
    <border>
      <left/>
      <right/>
      <top/>
      <bottom style="thin">
        <color rgb="FFB9C2D9"/>
      </bottom>
      <diagonal/>
    </border>
    <border>
      <bottom style="thin">
        <color rgb="00E0E5F2"/>
      </bottom>
    </border>
    <border>
      <top style="medium">
        <color rgb="00E0E5F2"/>
      </top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164" fontId="1" fillId="0" borderId="0" pivotButton="0" quotePrefix="0" xfId="0"/>
    <xf numFmtId="2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0" fontId="3" fillId="0" borderId="0" pivotButton="0" quotePrefix="0" xfId="0"/>
    <xf numFmtId="0" fontId="0" fillId="0" borderId="0" pivotButton="1" quotePrefix="0" xfId="0"/>
    <xf numFmtId="3" fontId="0" fillId="0" borderId="0" pivotButton="0" quotePrefix="0" xfId="0"/>
    <xf numFmtId="167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7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6" fillId="3" borderId="0" applyAlignment="1" pivotButton="0" quotePrefix="0" xfId="0">
      <alignment vertical="center"/>
    </xf>
    <xf numFmtId="0" fontId="0" fillId="3" borderId="0" pivotButton="0" quotePrefix="0" xfId="0"/>
    <xf numFmtId="0" fontId="7" fillId="3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9" fillId="3" borderId="3" pivotButton="0" quotePrefix="0" xfId="0"/>
    <xf numFmtId="0" fontId="9" fillId="3" borderId="3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pivotCacheDefinition" Target="/xl/pivotCache/pivotCacheDefinition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pivotSource>
    <name>[plantilla_viajes.xlsx]Resumen!DinamicaViajes</name>
    <fmtId val="0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Viajes por zona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AR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AR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AR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AR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AR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AR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AR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Resumen!$B$7:$B$9</f>
              <strCache>
                <ptCount val="1"/>
                <pt idx="0">
                  <v>Propio - Viajes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Resumen!$A$10:$A$13</f>
              <strCache>
                <ptCount val="3"/>
                <pt idx="0">
                  <v>DON ORIONE</v>
                </pt>
                <pt idx="1">
                  <v>LANUS</v>
                </pt>
                <pt idx="2">
                  <v>(en blanco)</v>
                </pt>
              </strCache>
            </strRef>
          </cat>
          <val>
            <numRef>
              <f>Resumen!$B$10:$B$13</f>
              <numCache>
                <formatCode>#,##0</formatCode>
                <ptCount val="3"/>
                <pt idx="0">
                  <v>1</v>
                </pt>
              </numCache>
            </numRef>
          </val>
        </ser>
        <ser>
          <idx val="1"/>
          <order val="1"/>
          <tx>
            <strRef>
              <f>Resumen!$C$7:$C$9</f>
              <strCache>
                <ptCount val="1"/>
                <pt idx="0">
                  <v>Propio - Costo total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Resumen!$A$10:$A$13</f>
              <strCache>
                <ptCount val="3"/>
                <pt idx="0">
                  <v>DON ORIONE</v>
                </pt>
                <pt idx="1">
                  <v>LANUS</v>
                </pt>
                <pt idx="2">
                  <v>(en blanco)</v>
                </pt>
              </strCache>
            </strRef>
          </cat>
          <val>
            <numRef>
              <f>Resumen!$C$10:$C$13</f>
              <numCache>
                <formatCode>"$"#,##0</formatCode>
                <ptCount val="3"/>
                <pt idx="0">
                  <v>0</v>
                </pt>
              </numCache>
            </numRef>
          </val>
        </ser>
        <ser>
          <idx val="2"/>
          <order val="2"/>
          <tx>
            <strRef>
              <f>Resumen!$D$7:$D$9</f>
              <strCache>
                <ptCount val="1"/>
                <pt idx="0">
                  <v>Tercerizado - Viajes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Resumen!$A$10:$A$13</f>
              <strCache>
                <ptCount val="3"/>
                <pt idx="0">
                  <v>DON ORIONE</v>
                </pt>
                <pt idx="1">
                  <v>LANUS</v>
                </pt>
                <pt idx="2">
                  <v>(en blanco)</v>
                </pt>
              </strCache>
            </strRef>
          </cat>
          <val>
            <numRef>
              <f>Resumen!$D$10:$D$13</f>
              <numCache>
                <formatCode>#,##0</formatCode>
                <ptCount val="3"/>
                <pt idx="1">
                  <v>1</v>
                </pt>
              </numCache>
            </numRef>
          </val>
        </ser>
        <ser>
          <idx val="3"/>
          <order val="3"/>
          <tx>
            <strRef>
              <f>Resumen!$E$7:$E$9</f>
              <strCache>
                <ptCount val="1"/>
                <pt idx="0">
                  <v>Tercerizado - Costo total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Resumen!$A$10:$A$13</f>
              <strCache>
                <ptCount val="3"/>
                <pt idx="0">
                  <v>DON ORIONE</v>
                </pt>
                <pt idx="1">
                  <v>LANUS</v>
                </pt>
                <pt idx="2">
                  <v>(en blanco)</v>
                </pt>
              </strCache>
            </strRef>
          </cat>
          <val>
            <numRef>
              <f>Resumen!$E$10:$E$13</f>
              <numCache>
                <formatCode>"$"#,##0</formatCode>
                <ptCount val="3"/>
                <pt idx="1">
                  <v>250000</v>
                </pt>
              </numCache>
            </numRef>
          </val>
        </ser>
        <ser>
          <idx val="4"/>
          <order val="4"/>
          <tx>
            <strRef>
              <f>Resumen!$F$7:$F$9</f>
              <strCache>
                <ptCount val="1"/>
                <pt idx="0">
                  <v>(en blanco) - Viajes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Resumen!$A$10:$A$13</f>
              <strCache>
                <ptCount val="3"/>
                <pt idx="0">
                  <v>DON ORIONE</v>
                </pt>
                <pt idx="1">
                  <v>LANUS</v>
                </pt>
                <pt idx="2">
                  <v>(en blanco)</v>
                </pt>
              </strCache>
            </strRef>
          </cat>
          <val>
            <numRef>
              <f>Resumen!$F$10:$F$13</f>
              <numCache>
                <formatCode>#,##0</formatCode>
                <ptCount val="3"/>
              </numCache>
            </numRef>
          </val>
        </ser>
        <ser>
          <idx val="5"/>
          <order val="5"/>
          <tx>
            <strRef>
              <f>Resumen!$G$7:$G$9</f>
              <strCache>
                <ptCount val="1"/>
                <pt idx="0">
                  <v>(en blanco) - Costo total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Resumen!$A$10:$A$13</f>
              <strCache>
                <ptCount val="3"/>
                <pt idx="0">
                  <v>DON ORIONE</v>
                </pt>
                <pt idx="1">
                  <v>LANUS</v>
                </pt>
                <pt idx="2">
                  <v>(en blanco)</v>
                </pt>
              </strCache>
            </strRef>
          </cat>
          <val>
            <numRef>
              <f>Resumen!$G$10:$G$13</f>
              <numCache>
                <formatCode>"$"#,##0</formatCode>
                <ptCount val="3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2854912"/>
        <axId val="86611856"/>
      </barChart>
      <catAx>
        <axId val="428549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AR"/>
          </a:p>
        </txPr>
        <crossAx val="86611856"/>
        <crosses val="autoZero"/>
        <auto val="1"/>
        <lblAlgn val="ctr"/>
        <lblOffset val="100"/>
        <noMultiLvlLbl val="0"/>
      </catAx>
      <valAx>
        <axId val="866118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AR"/>
          </a:p>
        </txPr>
        <crossAx val="4285491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304800</colOff>
      <row>6</row>
      <rowOff>0</rowOff>
    </from>
    <to>
      <col>16</col>
      <colOff>726440</colOff>
      <row>28</row>
      <rowOff>71120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Usuario" refreshedDate="46292.74196203703" missingItemsLimit="2" createdVersion="8" refreshedVersion="8" minRefreshableVersion="3" recordCount="3" r:id="rId1">
  <cacheSource type="worksheet">
    <worksheetSource ref="A1:AD5000" sheet="Viajes"/>
  </cacheSource>
  <cacheFields count="30">
    <cacheField name="ID viaje" uniqueList="1" numFmtId="0" sqlType="0" hierarchy="0" level="0" databaseField="1">
      <sharedItems count="0" containsBlank="1" containsInteger="1" containsNumber="1" containsString="0" minValue="7983" maxValue="7984"/>
    </cacheField>
    <cacheField name="Fecha" uniqueList="1" numFmtId="0" sqlType="0" hierarchy="0" level="0" databaseField="1">
      <sharedItems count="0" containsBlank="1" containsDate="1" containsNonDate="0" containsString="0" minDate="2026-09-24T00:00:00" maxDate="2026-09-25T00:00:00"/>
    </cacheField>
    <cacheField name="Mes" uniqueList="1" numFmtId="0" sqlType="0" hierarchy="0" level="0" databaseField="1">
      <sharedItems count="2" containsBlank="1">
        <s v="09 Septiembre"/>
        <m/>
      </sharedItems>
    </cacheField>
    <cacheField name="Reparto" uniqueList="1" numFmtId="0" sqlType="0" hierarchy="0" level="0" databaseField="1">
      <sharedItems count="0" containsBlank="1"/>
    </cacheField>
    <cacheField name="Zona" uniqueList="1" numFmtId="0" sqlType="0" hierarchy="0" level="0" databaseField="1">
      <sharedItems count="3" containsBlank="1">
        <s v="LANUS"/>
        <s v="DON ORIONE"/>
        <m/>
      </sharedItems>
    </cacheField>
    <cacheField name="Subzona" uniqueList="1" numFmtId="0" sqlType="0" hierarchy="0" level="0" databaseField="1">
      <sharedItems count="0" containsBlank="1"/>
    </cacheField>
    <cacheField name="Localidad" uniqueList="1" numFmtId="0" sqlType="0" hierarchy="0" level="0" databaseField="1">
      <sharedItems count="0" containsBlank="1"/>
    </cacheField>
    <cacheField name="Unidad de negocio" uniqueList="1" numFmtId="0" sqlType="0" hierarchy="0" level="0" databaseField="1">
      <sharedItems count="2" containsBlank="1">
        <s v="SAE"/>
        <m/>
      </sharedItems>
    </cacheField>
    <cacheField name="Contrato" uniqueList="1" numFmtId="0" sqlType="0" hierarchy="0" level="0" databaseField="1">
      <sharedItems count="3" containsBlank="1">
        <s v="Tercerizado"/>
        <s v="Propio"/>
        <m/>
      </sharedItems>
    </cacheField>
    <cacheField name="Proveedor" uniqueList="1" numFmtId="0" sqlType="0" hierarchy="0" level="0" databaseField="1">
      <sharedItems count="0" containsBlank="1"/>
    </cacheField>
    <cacheField name="Chofer" uniqueList="1" numFmtId="0" sqlType="0" hierarchy="0" level="0" databaseField="1">
      <sharedItems count="0" containsBlank="1"/>
    </cacheField>
    <cacheField name="Auxiliar 1" uniqueList="1" numFmtId="0" sqlType="0" hierarchy="0" level="0" databaseField="1">
      <sharedItems count="0" containsBlank="1"/>
    </cacheField>
    <cacheField name="Auxiliar 2" uniqueList="1" numFmtId="0" sqlType="0" hierarchy="0" level="0" databaseField="1">
      <sharedItems count="0" containsBlank="1" containsNonDate="0" containsString="0"/>
    </cacheField>
    <cacheField name="Auxiliar 3" uniqueList="1" numFmtId="0" sqlType="0" hierarchy="0" level="0" databaseField="1">
      <sharedItems count="0" containsBlank="1" containsNonDate="0" containsString="0"/>
    </cacheField>
    <cacheField name="Patente" uniqueList="1" numFmtId="0" sqlType="0" hierarchy="0" level="0" databaseField="1">
      <sharedItems count="0" containsBlank="1"/>
    </cacheField>
    <cacheField name="Tipo de vehiculo" uniqueList="1" numFmtId="0" sqlType="0" hierarchy="0" level="0" databaseField="1">
      <sharedItems count="0" containsBlank="1"/>
    </cacheField>
    <cacheField name="Vuelta" uniqueList="1" numFmtId="0" sqlType="0" hierarchy="0" level="0" databaseField="1">
      <sharedItems count="0" containsBlank="1" containsInteger="1" containsNumber="1" containsString="0" minValue="1" maxValue="1"/>
    </cacheField>
    <cacheField name="Refrigerado" uniqueList="1" numFmtId="0" sqlType="0" hierarchy="0" level="0" databaseField="1">
      <sharedItems count="0" containsBlank="1"/>
    </cacheField>
    <cacheField name="Temperatura" uniqueList="1" numFmtId="0" sqlType="0" hierarchy="0" level="0" databaseField="1">
      <sharedItems count="0" containsBlank="1" containsInteger="1" containsNumber="1" containsString="0" minValue="4" maxValue="4"/>
    </cacheField>
    <cacheField name="Estado" uniqueList="1" numFmtId="0" sqlType="0" hierarchy="0" level="0" databaseField="1">
      <sharedItems count="0" containsBlank="1"/>
    </cacheField>
    <cacheField name="Salida deposito" uniqueList="1" numFmtId="0" sqlType="0" hierarchy="0" level="0" databaseField="1">
      <sharedItems count="0" containsBlank="1"/>
    </cacheField>
    <cacheField name="Llegada deposito" uniqueList="1" numFmtId="0" sqlType="0" hierarchy="0" level="0" databaseField="1">
      <sharedItems count="0" containsBlank="1"/>
    </cacheField>
    <cacheField name="Duracion horas" uniqueList="1" numFmtId="0" sqlType="0" hierarchy="0" level="0" databaseField="1">
      <sharedItems count="0" containsBlank="1" containsNumber="1" containsString="0" minValue="4.47" maxValue="5.5"/>
    </cacheField>
    <cacheField name="Paradas planificadas" uniqueList="1" numFmtId="0" sqlType="0" hierarchy="0" level="0" databaseField="1">
      <sharedItems count="0" containsBlank="1" containsInteger="1" containsNumber="1" containsString="0" minValue="10" maxValue="12"/>
    </cacheField>
    <cacheField name="Paradas entregadas" uniqueList="1" numFmtId="0" sqlType="0" hierarchy="0" level="0" databaseField="1">
      <sharedItems count="0" containsBlank="1" containsInteger="1" containsNumber="1" containsString="0" minValue="9" maxValue="12"/>
    </cacheField>
    <cacheField name="Paradas no entregadas" uniqueList="1" numFmtId="0" sqlType="0" hierarchy="0" level="0" databaseField="1">
      <sharedItems count="0" containsBlank="1" containsInteger="1" containsNumber="1" containsString="0" minValue="0" maxValue="1"/>
    </cacheField>
    <cacheField name="Km recorridos" uniqueList="1" numFmtId="0" sqlType="0" hierarchy="0" level="0" databaseField="1">
      <sharedItems count="0" containsBlank="1" containsNumber="1" containsString="0" minValue="39" maxValue="48.2"/>
    </cacheField>
    <cacheField name="Costo" uniqueList="1" numFmtId="0" sqlType="0" hierarchy="0" level="0" databaseField="1">
      <sharedItems count="0" containsBlank="1" containsInteger="1" containsNumber="1" containsString="0" minValue="0" maxValue="250000"/>
    </cacheField>
    <cacheField name="Estado de pago" uniqueList="1" numFmtId="0" sqlType="0" hierarchy="0" level="0" databaseField="1">
      <sharedItems count="0" containsBlank="1"/>
    </cacheField>
    <cacheField name="Fecha de pago" uniqueList="1" numFmtId="0" sqlType="0" hierarchy="0" level="0" databaseField="1">
      <sharedItems count="0" containsBlank="1" containsDate="1" containsNonDate="0" containsString="0" minDate="2026-09-30T00:00:00" maxDate="2026-10-01T00:00:00"/>
    </cacheField>
  </cacheFields>
</pivotCacheDefinition>
</file>

<file path=xl/pivotCache/pivotCacheRecords1.xml><?xml version="1.0" encoding="utf-8"?>
<pivotCacheRecords xmlns="http://schemas.openxmlformats.org/spreadsheetml/2006/main" count="3">
  <r>
    <n v="7983"/>
    <d v="2026-09-24T00:00:00"/>
    <x v="0"/>
    <s v="R12"/>
    <x v="0"/>
    <s v="Zona 4"/>
    <s v="LANUS"/>
    <x v="0"/>
    <x v="0"/>
    <s v="EXTERNO"/>
    <s v="CLAUDIO SALINA"/>
    <s v="DENIS RODRIGUEZ"/>
    <m/>
    <m/>
    <s v="AA233TQ"/>
    <s v="VANS"/>
    <n v="1"/>
    <s v="No"/>
    <m/>
    <s v="Cerrado"/>
    <s v="06:10"/>
    <s v="11:40"/>
    <n v="5.5"/>
    <n v="12"/>
    <n v="12"/>
    <n v="0"/>
    <n v="48.2"/>
    <n v="250000"/>
    <s v="Pagado"/>
    <d v="2026-09-30T00:00:00"/>
  </r>
  <r>
    <n v="7984"/>
    <d v="2026-09-24T00:00:00"/>
    <x v="0"/>
    <s v="R6"/>
    <x v="1"/>
    <m/>
    <s v="DON ORIONE"/>
    <x v="0"/>
    <x v="1"/>
    <s v="R14 LOG"/>
    <s v="DIEGO GUIDA"/>
    <m/>
    <m/>
    <m/>
    <s v="AB069DL"/>
    <s v="VANS"/>
    <n v="1"/>
    <s v="Si"/>
    <n v="4"/>
    <s v="Cerrado"/>
    <s v="05:34"/>
    <s v="10:02"/>
    <n v="4.47"/>
    <n v="10"/>
    <n v="9"/>
    <n v="1"/>
    <n v="39"/>
    <n v="0"/>
    <m/>
    <m/>
  </r>
  <r>
    <m/>
    <m/>
    <x v="1"/>
    <m/>
    <x v="2"/>
    <m/>
    <m/>
    <x v="1"/>
    <x v="2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DinamicaViajes" cacheId="16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A7:I13" firstHeaderRow="1" firstDataRow="3" firstDataCol="1" rowPageCount="2" colPageCount="1"/>
  <pivotFields count="30"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descending" defaultSubtotal="1">
      <items count="4">
        <item t="data" sd="1" x="1"/>
        <item t="data" sd="1" x="0"/>
        <item t="data" sd="1" x="2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axis="axisCol" showDropDowns="1" compact="0" outline="0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4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Fields count="2">
    <field x="8"/>
    <field x="-2"/>
  </colFields>
  <colItems count="8">
    <i t="data" r="0" i="0">
      <x v="0"/>
      <x v="0"/>
    </i>
    <i t="data" r="1" i="1">
      <x v="1"/>
    </i>
    <i t="data" r="0" i="0">
      <x v="1"/>
      <x v="0"/>
    </i>
    <i t="data" r="1" i="1">
      <x v="1"/>
    </i>
    <i t="data" r="0" i="0">
      <x v="2"/>
      <x v="0"/>
    </i>
    <i t="data" r="1" i="1">
      <x v="1"/>
    </i>
    <i t="grand" r="0" i="0">
      <x v="0"/>
    </i>
    <i t="grand" r="0" i="1">
      <x v="0"/>
    </i>
  </colItems>
  <pageFields count="2">
    <pageField fld="7" hier="-1"/>
    <pageField fld="2" hier="-1"/>
  </pageFields>
  <dataFields count="2">
    <dataField name="Viajes" fld="0" subtotal="count" showDataAs="normal" baseField="0" baseItem="0" numFmtId="3"/>
    <dataField name="Costo total" fld="27" subtotal="sum" showDataAs="normal" baseField="0" baseItem="0" numFmtId="168"/>
  </dataFields>
  <chartFormats count="6">
    <chartFormat chart="0" format="0" series="1">
      <pivotArea type="data" dataOnly="1" outline="0" fieldPosition="0">
        <references count="2">
          <reference field="4294967294" selected="0">
            <x v="0"/>
          </reference>
          <reference field="8" selected="0">
            <x v="0"/>
          </reference>
        </references>
      </pivotArea>
    </chartFormat>
    <chartFormat chart="0" format="1" series="1">
      <pivotArea type="data" dataOnly="1" outline="0" fieldPosition="0">
        <references count="2">
          <reference field="4294967294" selected="0">
            <x v="1"/>
          </reference>
          <reference field="8" selected="0">
            <x v="0"/>
          </reference>
        </references>
      </pivotArea>
    </chartFormat>
    <chartFormat chart="0" format="2" series="1">
      <pivotArea type="data" dataOnly="1" outline="0" fieldPosition="0">
        <references count="2">
          <reference field="4294967294" selected="0">
            <x v="0"/>
          </reference>
          <reference field="8" selected="0">
            <x v="1"/>
          </reference>
        </references>
      </pivotArea>
    </chartFormat>
    <chartFormat chart="0" format="3" series="1">
      <pivotArea type="data" dataOnly="1" outline="0" fieldPosition="0">
        <references count="2">
          <reference field="4294967294" selected="0">
            <x v="1"/>
          </reference>
          <reference field="8" selected="0">
            <x v="1"/>
          </reference>
        </references>
      </pivotArea>
    </chartFormat>
    <chartFormat chart="0" format="4" series="1">
      <pivotArea type="data" dataOnly="1" outline="0" fieldPosition="0">
        <references count="2">
          <reference field="4294967294" selected="0">
            <x v="0"/>
          </reference>
          <reference field="8" selected="0">
            <x v="2"/>
          </reference>
        </references>
      </pivotArea>
    </chartFormat>
    <chartFormat chart="0" format="5" series="1">
      <pivotArea type="data" dataOnly="1" outline="0" fieldPosition="0">
        <references count="2">
          <reference field="4294967294" selected="0">
            <x v="1"/>
          </reference>
          <reference field="8" selected="0">
            <x v="2"/>
          </reference>
        </references>
      </pivotArea>
    </chartFormat>
  </chartFormats>
  <pivotTableStyleInfo name="PivotStyleMedium9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tabSelected="1" workbookViewId="0">
      <selection activeCell="A1" sqref="A1"/>
    </sheetView>
  </sheetViews>
  <sheetFormatPr baseColWidth="10" defaultRowHeight="13.8"/>
  <cols>
    <col width="16.21875" bestFit="1" customWidth="1" style="7" min="1" max="1"/>
    <col width="10.6640625" bestFit="1" customWidth="1" style="7" min="2" max="8"/>
    <col width="14.77734375" bestFit="1" customWidth="1" style="7" min="9" max="9"/>
    <col width="11.5546875" customWidth="1" style="7" min="10" max="16384"/>
  </cols>
  <sheetData>
    <row r="1" ht="24.6" customHeight="1">
      <c r="A1" s="11" t="inlineStr">
        <is>
          <t>VIAJES</t>
        </is>
      </c>
    </row>
    <row r="2">
      <c r="A2" s="12" t="inlineStr">
        <is>
          <t>Este cuadro sale de la hoja «Viajes». Arrastrá los campos para cambiar el corte; los filtros de arriba acotan todo.</t>
        </is>
      </c>
    </row>
    <row r="4" ht="14.4" customHeight="1">
      <c r="A4" s="8" t="inlineStr">
        <is>
          <t>Unidad de negocio</t>
        </is>
      </c>
      <c r="B4" t="inlineStr">
        <is>
          <t>(Todas)</t>
        </is>
      </c>
    </row>
    <row r="5" ht="14.4" customHeight="1">
      <c r="A5" s="8" t="inlineStr">
        <is>
          <t>Mes</t>
        </is>
      </c>
      <c r="B5" t="inlineStr">
        <is>
          <t>(Todas)</t>
        </is>
      </c>
    </row>
    <row r="7" ht="14.4" customHeight="1">
      <c r="B7" s="8" t="inlineStr">
        <is>
          <t>Contrato</t>
        </is>
      </c>
      <c r="C7" s="8" t="inlineStr">
        <is>
          <t>Valores</t>
        </is>
      </c>
    </row>
    <row r="8" ht="14.4" customHeight="1">
      <c r="B8" t="inlineStr">
        <is>
          <t>Propio</t>
        </is>
      </c>
      <c r="D8" t="inlineStr">
        <is>
          <t>Tercerizado</t>
        </is>
      </c>
      <c r="F8" t="inlineStr">
        <is>
          <t>(en blanco)</t>
        </is>
      </c>
      <c r="H8" t="inlineStr">
        <is>
          <t>Total Viajes</t>
        </is>
      </c>
      <c r="I8" t="inlineStr">
        <is>
          <t>Total Costo total</t>
        </is>
      </c>
    </row>
    <row r="9" ht="14.4" customHeight="1">
      <c r="A9" s="8" t="inlineStr">
        <is>
          <t>Zona</t>
        </is>
      </c>
      <c r="B9" t="inlineStr">
        <is>
          <t>Viajes</t>
        </is>
      </c>
      <c r="C9" t="inlineStr">
        <is>
          <t>Costo total</t>
        </is>
      </c>
      <c r="D9" t="inlineStr">
        <is>
          <t>Viajes</t>
        </is>
      </c>
      <c r="E9" t="inlineStr">
        <is>
          <t>Costo total</t>
        </is>
      </c>
      <c r="F9" t="inlineStr">
        <is>
          <t>Viajes</t>
        </is>
      </c>
      <c r="G9" t="inlineStr">
        <is>
          <t>Costo total</t>
        </is>
      </c>
    </row>
    <row r="10" ht="14.4" customHeight="1">
      <c r="A10" t="inlineStr">
        <is>
          <t>DON ORIONE</t>
        </is>
      </c>
      <c r="B10" s="9" t="n">
        <v>1</v>
      </c>
      <c r="C10" s="13" t="n">
        <v>0</v>
      </c>
      <c r="D10" s="9" t="n"/>
      <c r="E10" s="13" t="n"/>
      <c r="F10" s="9" t="n"/>
      <c r="G10" s="13" t="n"/>
      <c r="H10" s="9" t="n">
        <v>1</v>
      </c>
      <c r="I10" s="13" t="n">
        <v>0</v>
      </c>
    </row>
    <row r="11" ht="14.4" customHeight="1">
      <c r="A11" t="inlineStr">
        <is>
          <t>LANUS</t>
        </is>
      </c>
      <c r="B11" s="9" t="n"/>
      <c r="C11" s="13" t="n"/>
      <c r="D11" s="9" t="n">
        <v>1</v>
      </c>
      <c r="E11" s="13" t="n">
        <v>250000</v>
      </c>
      <c r="F11" s="9" t="n"/>
      <c r="G11" s="13" t="n"/>
      <c r="H11" s="9" t="n">
        <v>1</v>
      </c>
      <c r="I11" s="13" t="n">
        <v>250000</v>
      </c>
    </row>
    <row r="12" ht="14.4" customHeight="1">
      <c r="A12" t="inlineStr">
        <is>
          <t>(en blanco)</t>
        </is>
      </c>
      <c r="B12" s="9" t="n"/>
      <c r="C12" s="13" t="n"/>
      <c r="D12" s="9" t="n"/>
      <c r="E12" s="13" t="n"/>
      <c r="F12" s="9" t="n"/>
      <c r="G12" s="13" t="n"/>
      <c r="H12" s="9" t="n"/>
      <c r="I12" s="13" t="n"/>
    </row>
    <row r="13" ht="14.4" customHeight="1">
      <c r="A13" t="inlineStr">
        <is>
          <t>Total general</t>
        </is>
      </c>
      <c r="B13" s="9" t="n">
        <v>1</v>
      </c>
      <c r="C13" s="13" t="n">
        <v>0</v>
      </c>
      <c r="D13" s="9" t="n">
        <v>1</v>
      </c>
      <c r="E13" s="13" t="n">
        <v>250000</v>
      </c>
      <c r="F13" s="9" t="n"/>
      <c r="G13" s="13" t="n"/>
      <c r="H13" s="9" t="n">
        <v>2</v>
      </c>
      <c r="I13" s="13" t="n">
        <v>250000</v>
      </c>
    </row>
    <row r="14" ht="14.4" customHeight="1"/>
    <row r="15" ht="14.4" customHeight="1"/>
    <row r="16" ht="14.4" customHeight="1"/>
    <row r="17" ht="14.4" customHeight="1"/>
    <row r="18" ht="14.4" customHeight="1"/>
    <row r="19" ht="14.4" customHeight="1"/>
    <row r="20" ht="14.4" customHeight="1"/>
    <row r="21" ht="14.4" customHeight="1"/>
    <row r="22" ht="14.4" customHeight="1"/>
    <row r="23" ht="14.4" customHeight="1"/>
    <row r="24" ht="14.4" customHeight="1"/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1" customWidth="1" min="1" max="7"/>
    <col width="19" customWidth="1" min="8" max="8"/>
    <col width="11" customWidth="1" min="9" max="11"/>
    <col width="12" customWidth="1" min="12" max="14"/>
    <col width="11" customWidth="1" min="15" max="15"/>
    <col width="18" customWidth="1" min="16" max="16"/>
    <col width="11" customWidth="1" min="17" max="17"/>
    <col width="13" customWidth="1" min="18" max="19"/>
    <col width="11" customWidth="1" min="20" max="20"/>
    <col width="17" customWidth="1" min="21" max="21"/>
    <col width="18" customWidth="1" min="22" max="22"/>
    <col width="16" customWidth="1" min="23" max="23"/>
    <col width="22" customWidth="1" min="24" max="24"/>
    <col width="20" customWidth="1" min="25" max="25"/>
    <col width="23" customWidth="1" min="26" max="26"/>
    <col width="15" customWidth="1" min="27" max="27"/>
    <col width="11" customWidth="1" min="28" max="28"/>
    <col width="16" customWidth="1" min="29" max="29"/>
    <col width="15" customWidth="1" min="30" max="30"/>
  </cols>
  <sheetData>
    <row r="1" ht="30" customHeight="1">
      <c r="A1" s="1" t="inlineStr">
        <is>
          <t>ID viaje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Reparto</t>
        </is>
      </c>
      <c r="E1" s="1" t="inlineStr">
        <is>
          <t>Zona</t>
        </is>
      </c>
      <c r="F1" s="1" t="inlineStr">
        <is>
          <t>Subzona</t>
        </is>
      </c>
      <c r="G1" s="1" t="inlineStr">
        <is>
          <t>Localidad</t>
        </is>
      </c>
      <c r="H1" s="1" t="inlineStr">
        <is>
          <t>Unidad de negocio</t>
        </is>
      </c>
      <c r="I1" s="1" t="inlineStr">
        <is>
          <t>Contrato</t>
        </is>
      </c>
      <c r="J1" s="1" t="inlineStr">
        <is>
          <t>Proveedor</t>
        </is>
      </c>
      <c r="K1" s="1" t="inlineStr">
        <is>
          <t>Chofer</t>
        </is>
      </c>
      <c r="L1" s="1" t="inlineStr">
        <is>
          <t>Auxiliar 1</t>
        </is>
      </c>
      <c r="M1" s="1" t="inlineStr">
        <is>
          <t>Auxiliar 2</t>
        </is>
      </c>
      <c r="N1" s="1" t="inlineStr">
        <is>
          <t>Auxiliar 3</t>
        </is>
      </c>
      <c r="O1" s="1" t="inlineStr">
        <is>
          <t>Patente</t>
        </is>
      </c>
      <c r="P1" s="1" t="inlineStr">
        <is>
          <t>Tipo de vehiculo</t>
        </is>
      </c>
      <c r="Q1" s="1" t="inlineStr">
        <is>
          <t>Vuelta</t>
        </is>
      </c>
      <c r="R1" s="1" t="inlineStr">
        <is>
          <t>Refrigerado</t>
        </is>
      </c>
      <c r="S1" s="1" t="inlineStr">
        <is>
          <t>Temperatura</t>
        </is>
      </c>
      <c r="T1" s="1" t="inlineStr">
        <is>
          <t>Estado</t>
        </is>
      </c>
      <c r="U1" s="1" t="inlineStr">
        <is>
          <t>Salida deposito</t>
        </is>
      </c>
      <c r="V1" s="1" t="inlineStr">
        <is>
          <t>Llegada deposito</t>
        </is>
      </c>
      <c r="W1" s="1" t="inlineStr">
        <is>
          <t>Duracion horas</t>
        </is>
      </c>
      <c r="X1" s="1" t="inlineStr">
        <is>
          <t>Paradas planificadas</t>
        </is>
      </c>
      <c r="Y1" s="1" t="inlineStr">
        <is>
          <t>Paradas entregadas</t>
        </is>
      </c>
      <c r="Z1" s="1" t="inlineStr">
        <is>
          <t>Paradas no entregadas</t>
        </is>
      </c>
      <c r="AA1" s="1" t="inlineStr">
        <is>
          <t>Km recorridos</t>
        </is>
      </c>
      <c r="AB1" s="1" t="inlineStr">
        <is>
          <t>Costo</t>
        </is>
      </c>
      <c r="AC1" s="1" t="inlineStr">
        <is>
          <t>Estado de pago</t>
        </is>
      </c>
      <c r="AD1" s="1" t="inlineStr">
        <is>
          <t>Fecha de pago</t>
        </is>
      </c>
    </row>
    <row r="2">
      <c r="A2" s="2" t="n">
        <v>7983</v>
      </c>
      <c r="B2" s="14" t="n">
        <v>46289</v>
      </c>
      <c r="C2" s="2" t="inlineStr">
        <is>
          <t>09 Septiembre</t>
        </is>
      </c>
      <c r="D2" s="2" t="inlineStr">
        <is>
          <t>R12</t>
        </is>
      </c>
      <c r="E2" s="2" t="inlineStr">
        <is>
          <t>LANUS</t>
        </is>
      </c>
      <c r="F2" s="2" t="inlineStr">
        <is>
          <t>Zona 4</t>
        </is>
      </c>
      <c r="G2" s="2" t="inlineStr">
        <is>
          <t>LANUS</t>
        </is>
      </c>
      <c r="H2" s="2" t="inlineStr">
        <is>
          <t>SAE</t>
        </is>
      </c>
      <c r="I2" s="2" t="inlineStr">
        <is>
          <t>Tercerizado</t>
        </is>
      </c>
      <c r="J2" s="2" t="inlineStr">
        <is>
          <t>EXTERNO</t>
        </is>
      </c>
      <c r="K2" s="2" t="inlineStr">
        <is>
          <t>CLAUDIO SALINA</t>
        </is>
      </c>
      <c r="L2" s="2" t="inlineStr">
        <is>
          <t>DENIS RODRIGUEZ</t>
        </is>
      </c>
      <c r="M2" s="2" t="n"/>
      <c r="N2" s="2" t="n"/>
      <c r="O2" s="2" t="inlineStr">
        <is>
          <t>AA233TQ</t>
        </is>
      </c>
      <c r="P2" s="2" t="inlineStr">
        <is>
          <t>VANS</t>
        </is>
      </c>
      <c r="Q2" s="2" t="n">
        <v>1</v>
      </c>
      <c r="R2" s="2" t="inlineStr">
        <is>
          <t>No</t>
        </is>
      </c>
      <c r="S2" s="2" t="n"/>
      <c r="T2" s="2" t="inlineStr">
        <is>
          <t>Cerrado</t>
        </is>
      </c>
      <c r="U2" s="2" t="inlineStr">
        <is>
          <t>06:10</t>
        </is>
      </c>
      <c r="V2" s="2" t="inlineStr">
        <is>
          <t>11:40</t>
        </is>
      </c>
      <c r="W2" s="4" t="n">
        <v>5.5</v>
      </c>
      <c r="X2" s="2" t="n">
        <v>12</v>
      </c>
      <c r="Y2" s="2" t="n">
        <v>12</v>
      </c>
      <c r="Z2" s="2" t="n">
        <v>0</v>
      </c>
      <c r="AA2" s="15" t="n">
        <v>48.2</v>
      </c>
      <c r="AB2" s="6" t="n">
        <v>250000</v>
      </c>
      <c r="AC2" s="2" t="inlineStr">
        <is>
          <t>Pagado</t>
        </is>
      </c>
      <c r="AD2" s="14" t="n">
        <v>46295</v>
      </c>
    </row>
    <row r="3">
      <c r="A3" s="2" t="n">
        <v>7984</v>
      </c>
      <c r="B3" s="14" t="n">
        <v>46289</v>
      </c>
      <c r="C3" s="2" t="inlineStr">
        <is>
          <t>09 Septiembre</t>
        </is>
      </c>
      <c r="D3" s="2" t="inlineStr">
        <is>
          <t>R6</t>
        </is>
      </c>
      <c r="E3" s="2" t="inlineStr">
        <is>
          <t>DON ORIONE</t>
        </is>
      </c>
      <c r="F3" s="2" t="n"/>
      <c r="G3" s="2" t="inlineStr">
        <is>
          <t>DON ORIONE</t>
        </is>
      </c>
      <c r="H3" s="2" t="inlineStr">
        <is>
          <t>SAE</t>
        </is>
      </c>
      <c r="I3" s="2" t="inlineStr">
        <is>
          <t>Propio</t>
        </is>
      </c>
      <c r="J3" s="2" t="inlineStr">
        <is>
          <t>R14 LOG</t>
        </is>
      </c>
      <c r="K3" s="2" t="inlineStr">
        <is>
          <t>DIEGO GUIDA</t>
        </is>
      </c>
      <c r="L3" s="2" t="n"/>
      <c r="M3" s="2" t="n"/>
      <c r="N3" s="2" t="n"/>
      <c r="O3" s="2" t="inlineStr">
        <is>
          <t>AB069DL</t>
        </is>
      </c>
      <c r="P3" s="2" t="inlineStr">
        <is>
          <t>VANS</t>
        </is>
      </c>
      <c r="Q3" s="2" t="n">
        <v>1</v>
      </c>
      <c r="R3" s="2" t="inlineStr">
        <is>
          <t>Si</t>
        </is>
      </c>
      <c r="S3" s="2" t="n">
        <v>4</v>
      </c>
      <c r="T3" s="2" t="inlineStr">
        <is>
          <t>Cerrado</t>
        </is>
      </c>
      <c r="U3" s="2" t="inlineStr">
        <is>
          <t>05:34</t>
        </is>
      </c>
      <c r="V3" s="2" t="inlineStr">
        <is>
          <t>10:02</t>
        </is>
      </c>
      <c r="W3" s="4" t="n">
        <v>4.47</v>
      </c>
      <c r="X3" s="2" t="n">
        <v>10</v>
      </c>
      <c r="Y3" s="2" t="n">
        <v>9</v>
      </c>
      <c r="Z3" s="2" t="n">
        <v>1</v>
      </c>
      <c r="AA3" s="15" t="n">
        <v>39</v>
      </c>
      <c r="AB3" s="6" t="n">
        <v>0</v>
      </c>
      <c r="AC3" s="2" t="n"/>
      <c r="AD3" s="14" t="n"/>
    </row>
  </sheetData>
  <autoFilter ref="A1:A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10" customWidth="1" min="14" max="14"/>
  </cols>
  <sheetData>
    <row r="1" ht="24" customHeight="1">
      <c r="A1" s="16" t="inlineStr">
        <is>
          <t>SAE BROWN PROPIO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8" t="inlineStr">
        <is>
          <t>472 viajes</t>
        </is>
      </c>
    </row>
    <row r="2">
      <c r="A2" s="19" t="inlineStr">
        <is>
          <t>CATEGORIA</t>
        </is>
      </c>
      <c r="B2" s="20" t="inlineStr">
        <is>
          <t>ENE</t>
        </is>
      </c>
      <c r="C2" s="20" t="inlineStr">
        <is>
          <t>FEB</t>
        </is>
      </c>
      <c r="D2" s="20" t="inlineStr">
        <is>
          <t>MAR</t>
        </is>
      </c>
      <c r="E2" s="20" t="inlineStr">
        <is>
          <t>ABR</t>
        </is>
      </c>
      <c r="F2" s="20" t="inlineStr">
        <is>
          <t>MAY</t>
        </is>
      </c>
      <c r="G2" s="20" t="inlineStr">
        <is>
          <t>JUN</t>
        </is>
      </c>
      <c r="H2" s="20" t="inlineStr">
        <is>
          <t>JUL</t>
        </is>
      </c>
      <c r="I2" s="20" t="inlineStr">
        <is>
          <t>AGO</t>
        </is>
      </c>
      <c r="J2" s="20" t="inlineStr">
        <is>
          <t>SEP</t>
        </is>
      </c>
      <c r="K2" s="20" t="inlineStr">
        <is>
          <t>OCT</t>
        </is>
      </c>
      <c r="L2" s="20" t="inlineStr">
        <is>
          <t>NOV</t>
        </is>
      </c>
      <c r="M2" s="20" t="inlineStr">
        <is>
          <t>DIC</t>
        </is>
      </c>
      <c r="N2" s="20" t="inlineStr">
        <is>
          <t>TOTAL</t>
        </is>
      </c>
    </row>
    <row r="3">
      <c r="A3" s="21" t="inlineStr">
        <is>
          <t>Longchamps</t>
        </is>
      </c>
      <c r="B3" s="22" t="n"/>
      <c r="C3" s="22" t="n"/>
      <c r="D3" s="22" t="n">
        <v>6</v>
      </c>
      <c r="E3" s="22" t="n">
        <v>1</v>
      </c>
      <c r="F3" s="22" t="n">
        <v>13</v>
      </c>
      <c r="G3" s="22" t="n">
        <v>11</v>
      </c>
      <c r="H3" s="22" t="n">
        <v>7</v>
      </c>
      <c r="I3" s="22" t="n">
        <v>23</v>
      </c>
      <c r="J3" s="22" t="n">
        <v>42</v>
      </c>
      <c r="K3" s="22" t="n"/>
      <c r="L3" s="22" t="n"/>
      <c r="M3" s="22" t="n"/>
      <c r="N3" s="23" t="n">
        <v>103</v>
      </c>
    </row>
    <row r="4">
      <c r="A4" s="24" t="inlineStr">
        <is>
          <t>TOTAL</t>
        </is>
      </c>
      <c r="B4" s="25" t="n"/>
      <c r="C4" s="25" t="n"/>
      <c r="D4" s="25" t="n">
        <v>18</v>
      </c>
      <c r="E4" s="25" t="n">
        <v>1</v>
      </c>
      <c r="F4" s="25" t="n">
        <v>126</v>
      </c>
      <c r="G4" s="25" t="n">
        <v>75</v>
      </c>
      <c r="H4" s="25" t="n">
        <v>39</v>
      </c>
      <c r="I4" s="25" t="n">
        <v>94</v>
      </c>
      <c r="J4" s="25" t="n">
        <v>119</v>
      </c>
      <c r="K4" s="25" t="n"/>
      <c r="L4" s="25" t="n"/>
      <c r="M4" s="25" t="n"/>
      <c r="N4" s="25" t="n">
        <v>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2026-09-27T20:48:24Z</dcterms:created>
  <dcterms:modified xmlns:dcterms="http://purl.org/dc/terms/" xmlns:xsi="http://www.w3.org/2001/XMLSchema-instance" xsi:type="dcterms:W3CDTF">2026-09-27T20:48:29Z</dcterms:modified>
  <cp:lastModifiedBy>Juan Manuel Serrate</cp:lastModifiedBy>
</cp:coreProperties>
</file>
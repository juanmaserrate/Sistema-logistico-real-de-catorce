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o\AppData\Local\Temp\claude\C--Users-Usuario-Desktop-Claude\1ce4d530-0c0c-4c21-82f2-074c99f26bbd\scratchpad\"/>
    </mc:Choice>
  </mc:AlternateContent>
  <xr:revisionPtr revIDLastSave="0" documentId="13_ncr:1_{99097B4D-F268-4767-A948-921F60BE5FB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Resumen" sheetId="3" r:id="rId1"/>
    <sheet name="Viajes" sheetId="1" r:id="rId2"/>
    <sheet name="Conteo por UN" sheetId="2" r:id="rId3"/>
  </sheets>
  <definedNames>
    <definedName name="_xlnm._FilterDatabase" localSheetId="2" hidden="1">'Conteo por UN'!$A$1:$P$3</definedName>
    <definedName name="_xlnm._FilterDatabase" localSheetId="1" hidden="1">Viajes!$A$1:$AD$3</definedName>
  </definedNames>
  <calcPr calcId="0"/>
  <pivotCaches>
    <pivotCache cacheId="16" r:id="rId4"/>
  </pivotCaches>
</workbook>
</file>

<file path=xl/sharedStrings.xml><?xml version="1.0" encoding="utf-8"?>
<sst xmlns="http://schemas.openxmlformats.org/spreadsheetml/2006/main" count="107" uniqueCount="83">
  <si>
    <t>ID viaje</t>
  </si>
  <si>
    <t>Fecha</t>
  </si>
  <si>
    <t>Mes</t>
  </si>
  <si>
    <t>Reparto</t>
  </si>
  <si>
    <t>Zona</t>
  </si>
  <si>
    <t>Subzona</t>
  </si>
  <si>
    <t>Localidad</t>
  </si>
  <si>
    <t>Unidad de negocio</t>
  </si>
  <si>
    <t>Contrato</t>
  </si>
  <si>
    <t>Proveedor</t>
  </si>
  <si>
    <t>Chofer</t>
  </si>
  <si>
    <t>Auxiliar 1</t>
  </si>
  <si>
    <t>Auxiliar 2</t>
  </si>
  <si>
    <t>Auxiliar 3</t>
  </si>
  <si>
    <t>Patente</t>
  </si>
  <si>
    <t>Tipo de vehiculo</t>
  </si>
  <si>
    <t>Vuelta</t>
  </si>
  <si>
    <t>Refrigerado</t>
  </si>
  <si>
    <t>Temperatura</t>
  </si>
  <si>
    <t>Estado</t>
  </si>
  <si>
    <t>Salida deposito</t>
  </si>
  <si>
    <t>Llegada deposito</t>
  </si>
  <si>
    <t>Duracion horas</t>
  </si>
  <si>
    <t>Paradas planificadas</t>
  </si>
  <si>
    <t>Paradas entregadas</t>
  </si>
  <si>
    <t>Paradas no entregadas</t>
  </si>
  <si>
    <t>Km recorridos</t>
  </si>
  <si>
    <t>Costo</t>
  </si>
  <si>
    <t>Estado de pago</t>
  </si>
  <si>
    <t>Fecha de pago</t>
  </si>
  <si>
    <t>09 Septiembre</t>
  </si>
  <si>
    <t>R12</t>
  </si>
  <si>
    <t>LANUS</t>
  </si>
  <si>
    <t>Zona 4</t>
  </si>
  <si>
    <t>SAE</t>
  </si>
  <si>
    <t>Tercerizado</t>
  </si>
  <si>
    <t>EXTERNO</t>
  </si>
  <si>
    <t>CLAUDIO SALINA</t>
  </si>
  <si>
    <t>DENIS RODRIGUEZ</t>
  </si>
  <si>
    <t>AA233TQ</t>
  </si>
  <si>
    <t>VANS</t>
  </si>
  <si>
    <t>No</t>
  </si>
  <si>
    <t>Cerrado</t>
  </si>
  <si>
    <t>06:10</t>
  </si>
  <si>
    <t>11:40</t>
  </si>
  <si>
    <t>Pagado</t>
  </si>
  <si>
    <t>R6</t>
  </si>
  <si>
    <t>DON ORIONE</t>
  </si>
  <si>
    <t>Propio</t>
  </si>
  <si>
    <t>R14 LOG</t>
  </si>
  <si>
    <t>DIEGO GUIDA</t>
  </si>
  <si>
    <t>AB069DL</t>
  </si>
  <si>
    <t>Si</t>
  </si>
  <si>
    <t>05:34</t>
  </si>
  <si>
    <t>10:02</t>
  </si>
  <si>
    <t>Region</t>
  </si>
  <si>
    <t>Categoria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</si>
  <si>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</si>
  <si>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</si>
  <si>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</si>
  <si>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</si>
  <si>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</si>
  <si>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</si>
  <si>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</si>
  <si>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</si>
  <si>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</si>
  <si>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</si>
  <si>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</si>
  <si>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</si>
  <si>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</si>
  <si>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SAE BROWN</t>
  </si>
  <si>
    <t>Longchamps</t>
  </si>
  <si>
    <t>SAE LANUS</t>
  </si>
  <si>
    <t>(en blanco)</t>
  </si>
  <si>
    <t>Total general</t>
  </si>
  <si>
    <t>(Todas)</t>
  </si>
  <si>
    <t>Viajes</t>
  </si>
  <si>
    <t>Total Viajes</t>
  </si>
  <si>
    <t>Total Costo total</t>
  </si>
  <si>
    <t>Costo total</t>
  </si>
  <si>
    <t>Valores</t>
  </si>
  <si>
    <t>VIAJES</t>
  </si>
  <si>
    <t>Este cuadro sale de la hoja «Viajes». Arrastrá los campos para cambiar el corte; los filtros de arriba acotan todo.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</si>
</sst>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dd/mm/yyyy"/>
    <numFmt numFmtId="166" formatCode="\$#,##0"/>
    <numFmt numFmtId="167" formatCode="0.0"/>
    <numFmt numFmtId="168" formatCode="&quot;$&quot;#,##0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color rgb="FFFFFFFF"/>
      <name val="Arial"/>
    </font>
    <font>
      <sz val="11"/>
      <color theme="1"/>
      <name val="Arial"/>
      <family val="2"/>
    </font>
    <font>
      <b/>
      <sz val="20"/>
      <color rgb="FF141F46"/>
      <name val="Arial"/>
      <family val="2"/>
    </font>
    <font>
      <sz val="10"/>
      <color rgb="FF80808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1F46"/>
      </patternFill>
    </fill>
  </fills>
  <borders count="2">
    <border>
      <left/>
      <right/>
      <top/>
      <bottom/>
      <diagonal/>
    </border>
    <border>
      <left/>
      <right/>
      <top/>
      <bottom style="thin">
        <color rgb="FFB9C2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/>
    <xf numFmtId="165" fontId="1" fillId="0" borderId="0" xfId="0" applyNumberFormat="1" applyFont="1"/>
    <xf numFmtId="2" fontId="1" fillId="0" borderId="0" xfId="0" applyNumberFormat="1" applyFont="1"/>
    <xf numFmtId="167" fontId="1" fillId="0" borderId="0" xfId="0" applyNumberFormat="1" applyFont="1"/>
    <xf numFmtId="166" fontId="1" fillId="0" borderId="0" xfId="0" applyNumberFormat="1" applyFont="1"/>
    <xf numFmtId="0" fontId="3" fillId="0" borderId="0" xfId="0" applyFont="1"/>
    <xf numFmtId="0" fontId="0" fillId="0" borderId="0" xfId="0" pivotButton="1"/>
    <xf numFmtId="3" fontId="0" fillId="0" borderId="0" xfId="0" applyNumberFormat="1"/>
    <xf numFmtId="168" fontId="0" fillId="0" borderId="0" xfId="0" applyNumberForma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[plantilla_viajes.xlsx]Resumen!DinamicaViajes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Viajes por zona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Resumen!$B$7:$B$9</c:f>
              <c:strCache>
                <c:ptCount val="1"/>
                <c:pt idx="0">
                  <c:v>Propio - Viajes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Resumen!$B$10:$B$13</c:f>
              <c:numCache>
                <c:formatCode>#,##0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5A-49A7-BC90-68F65052A38C}"/>
            </c:ext>
          </c:extLst>
        </c:ser>
        <c:ser>
          <c:idx val="1"/>
          <c:order val="1"/>
          <c:tx>
            <c:strRef>
              <c:f>Resumen!$C$7:$C$9</c:f>
              <c:strCache>
                <c:ptCount val="1"/>
                <c:pt idx="0">
                  <c:v>Propio - Costo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Resumen!$C$10:$C$13</c:f>
              <c:numCache>
                <c:formatCode>"$"#,##0</c:formatCode>
                <c:ptCount val="3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5A-49A7-BC90-68F65052A38C}"/>
            </c:ext>
          </c:extLst>
        </c:ser>
        <c:ser>
          <c:idx val="2"/>
          <c:order val="2"/>
          <c:tx>
            <c:strRef>
              <c:f>Resumen!$D$7:$D$9</c:f>
              <c:strCache>
                <c:ptCount val="1"/>
                <c:pt idx="0">
                  <c:v>Tercerizado - Viajes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Resumen!$D$10:$D$13</c:f>
              <c:numCache>
                <c:formatCode>#,##0</c:formatCode>
                <c:ptCount val="3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5A-49A7-BC90-68F65052A38C}"/>
            </c:ext>
          </c:extLst>
        </c:ser>
        <c:ser>
          <c:idx val="3"/>
          <c:order val="3"/>
          <c:tx>
            <c:strRef>
              <c:f>Resumen!$E$7:$E$9</c:f>
              <c:strCache>
                <c:ptCount val="1"/>
                <c:pt idx="0">
                  <c:v>Tercerizado - Costo 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Resumen!$E$10:$E$13</c:f>
              <c:numCache>
                <c:formatCode>"$"#,##0</c:formatCode>
                <c:ptCount val="3"/>
                <c:pt idx="1">
                  <c:v>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5A-49A7-BC90-68F65052A38C}"/>
            </c:ext>
          </c:extLst>
        </c:ser>
        <c:ser>
          <c:idx val="4"/>
          <c:order val="4"/>
          <c:tx>
            <c:strRef>
              <c:f>Resumen!$F$7:$F$9</c:f>
              <c:strCache>
                <c:ptCount val="1"/>
                <c:pt idx="0">
                  <c:v>(en blanco) - Viajes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Resumen!$F$10:$F$13</c:f>
              <c:numCache>
                <c:formatCode>#,##0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5-035A-49A7-BC90-68F65052A38C}"/>
            </c:ext>
          </c:extLst>
        </c:ser>
        <c:ser>
          <c:idx val="5"/>
          <c:order val="5"/>
          <c:tx>
            <c:strRef>
              <c:f>Resumen!$G$7:$G$9</c:f>
              <c:strCache>
                <c:ptCount val="1"/>
                <c:pt idx="0">
                  <c:v>(en blanco) - Costo 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Resumen!$A$10:$A$13</c:f>
              <c:strCache>
                <c:ptCount val="3"/>
                <c:pt idx="0">
                  <c:v>DON ORIONE</c:v>
                </c:pt>
                <c:pt idx="1">
                  <c:v>LANUS</c:v>
                </c:pt>
                <c:pt idx="2">
                  <c:v>(en blanco)</c:v>
                </c:pt>
              </c:strCache>
            </c:strRef>
          </c:cat>
          <c:val>
            <c:numRef>
              <c:f>Resumen!$G$10:$G$13</c:f>
              <c:numCache>
                <c:formatCode>"$"#,##0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035A-49A7-BC90-68F65052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079184"/>
        <c:axId val="79736655"/>
      </c:barChart>
      <c:catAx>
        <c:axId val="130307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9736655"/>
        <c:crosses val="autoZero"/>
        <c:auto val="1"/>
        <c:lblAlgn val="ctr"/>
        <c:lblOffset val="100"/>
        <c:noMultiLvlLbl val="0"/>
      </c:catAx>
      <c:valAx>
        <c:axId val="7973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079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304800</xdr:colOff>
      <xdr:row>6</xdr:row>
      <xdr:rowOff>0</xdr:rowOff>
    </xdr:from>
    <xdr:to>
      <xdr:col>16</xdr:col>
      <xdr:colOff>726440</xdr:colOff>
      <xdr:row>28</xdr:row>
      <xdr:rowOff>71120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6700B92-286C-2DD3-AA32-AA428508B0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92.736203356479" missingItemsLimit="2" createdVersion="8" refreshedVersion="8" minRefreshableVersion="3" recordCount="3" xr:uid="{C8E61F73-F38D-44AD-9777-2EE45D8FECB0}">
  <cacheSource type="worksheet">
    <worksheetSource ref="A1:AD5000" sheet="Viajes"/>
  </cacheSource>
  <cacheFields count="30">
    <cacheField name="ID viaje" numFmtId="0">
      <sharedItems containsString="0" containsBlank="1" containsNumber="1" containsInteger="1" minValue="7983" maxValue="7984"/>
    </cacheField>
    <cacheField name="Fecha" numFmtId="0">
      <sharedItems containsNonDate="0" containsDate="1" containsString="0" containsBlank="1" minDate="2026-09-24T00:00:00" maxDate="2026-09-25T00:00:00"/>
    </cacheField>
    <cacheField name="Mes" numFmtId="0">
      <sharedItems containsBlank="1" count="2">
        <s v="09 Septiembre"/>
        <m/>
      </sharedItems>
    </cacheField>
    <cacheField name="Reparto" numFmtId="0">
      <sharedItems containsBlank="1"/>
    </cacheField>
    <cacheField name="Zona" numFmtId="0">
      <sharedItems containsBlank="1" count="3">
        <s v="LANUS"/>
        <s v="DON ORIONE"/>
        <m/>
      </sharedItems>
    </cacheField>
    <cacheField name="Subzona" numFmtId="0">
      <sharedItems containsBlank="1"/>
    </cacheField>
    <cacheField name="Localidad" numFmtId="0">
      <sharedItems containsBlank="1"/>
    </cacheField>
    <cacheField name="Unidad de negocio" numFmtId="0">
      <sharedItems containsBlank="1" count="2">
        <s v="SAE"/>
        <m/>
      </sharedItems>
    </cacheField>
    <cacheField name="Contrato" numFmtId="0">
      <sharedItems containsBlank="1" count="3">
        <s v="Tercerizado"/>
        <s v="Propio"/>
        <m/>
      </sharedItems>
    </cacheField>
    <cacheField name="Proveedor" numFmtId="0">
      <sharedItems containsBlank="1"/>
    </cacheField>
    <cacheField name="Chofer" numFmtId="0">
      <sharedItems containsBlank="1"/>
    </cacheField>
    <cacheField name="Auxiliar 1" numFmtId="0">
      <sharedItems containsBlank="1"/>
    </cacheField>
    <cacheField name="Auxiliar 2" numFmtId="0">
      <sharedItems containsNonDate="0" containsString="0" containsBlank="1"/>
    </cacheField>
    <cacheField name="Auxiliar 3" numFmtId="0">
      <sharedItems containsNonDate="0" containsString="0" containsBlank="1"/>
    </cacheField>
    <cacheField name="Patente" numFmtId="0">
      <sharedItems containsBlank="1"/>
    </cacheField>
    <cacheField name="Tipo de vehiculo" numFmtId="0">
      <sharedItems containsBlank="1"/>
    </cacheField>
    <cacheField name="Vuelta" numFmtId="0">
      <sharedItems containsString="0" containsBlank="1" containsNumber="1" containsInteger="1" minValue="1" maxValue="1"/>
    </cacheField>
    <cacheField name="Refrigerado" numFmtId="0">
      <sharedItems containsBlank="1"/>
    </cacheField>
    <cacheField name="Temperatura" numFmtId="0">
      <sharedItems containsString="0" containsBlank="1" containsNumber="1" containsInteger="1" minValue="4" maxValue="4"/>
    </cacheField>
    <cacheField name="Estado" numFmtId="0">
      <sharedItems containsBlank="1"/>
    </cacheField>
    <cacheField name="Salida deposito" numFmtId="0">
      <sharedItems containsBlank="1"/>
    </cacheField>
    <cacheField name="Llegada deposito" numFmtId="0">
      <sharedItems containsBlank="1"/>
    </cacheField>
    <cacheField name="Duracion horas" numFmtId="0">
      <sharedItems containsString="0" containsBlank="1" containsNumber="1" minValue="4.47" maxValue="5.5"/>
    </cacheField>
    <cacheField name="Paradas planificadas" numFmtId="0">
      <sharedItems containsString="0" containsBlank="1" containsNumber="1" containsInteger="1" minValue="10" maxValue="12"/>
    </cacheField>
    <cacheField name="Paradas entregadas" numFmtId="0">
      <sharedItems containsString="0" containsBlank="1" containsNumber="1" containsInteger="1" minValue="9" maxValue="12"/>
    </cacheField>
    <cacheField name="Paradas no entregadas" numFmtId="0">
      <sharedItems containsString="0" containsBlank="1" containsNumber="1" containsInteger="1" minValue="0" maxValue="1"/>
    </cacheField>
    <cacheField name="Km recorridos" numFmtId="0">
      <sharedItems containsString="0" containsBlank="1" containsNumber="1" minValue="39" maxValue="48.2"/>
    </cacheField>
    <cacheField name="Costo" numFmtId="0">
      <sharedItems containsString="0" containsBlank="1" containsNumber="1" containsInteger="1" minValue="0" maxValue="250000"/>
    </cacheField>
    <cacheField name="Estado de pago" numFmtId="0">
      <sharedItems containsBlank="1"/>
    </cacheField>
    <cacheField name="Fecha de pago" numFmtId="0">
      <sharedItems containsNonDate="0" containsDate="1" containsString="0" containsBlank="1" minDate="2026-09-30T00:00:00" maxDate="2026-10-01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n v="7983"/>
    <d v="2026-09-24T00:00:00"/>
    <x v="0"/>
    <s v="R12"/>
    <x v="0"/>
    <s v="Zona 4"/>
    <s v="LANUS"/>
    <x v="0"/>
    <x v="0"/>
    <s v="EXTERNO"/>
    <s v="CLAUDIO SALINA"/>
    <s v="DENIS RODRIGUEZ"/>
    <m/>
    <m/>
    <s v="AA233TQ"/>
    <s v="VANS"/>
    <n v="1"/>
    <s v="No"/>
    <m/>
    <s v="Cerrado"/>
    <s v="06:10"/>
    <s v="11:40"/>
    <n v="5.5"/>
    <n v="12"/>
    <n v="12"/>
    <n v="0"/>
    <n v="48.2"/>
    <n v="250000"/>
    <s v="Pagado"/>
    <d v="2026-09-30T00:00:00"/>
  </r>
  <r>
    <n v="7984"/>
    <d v="2026-09-24T00:00:00"/>
    <x v="0"/>
    <s v="R6"/>
    <x v="1"/>
    <m/>
    <s v="DON ORIONE"/>
    <x v="0"/>
    <x v="1"/>
    <s v="R14 LOG"/>
    <s v="DIEGO GUIDA"/>
    <m/>
    <m/>
    <m/>
    <s v="AB069DL"/>
    <s v="VANS"/>
    <n v="1"/>
    <s v="Si"/>
    <n v="4"/>
    <s v="Cerrado"/>
    <s v="05:34"/>
    <s v="10:02"/>
    <n v="4.47"/>
    <n v="10"/>
    <n v="9"/>
    <n v="1"/>
    <n v="39"/>
    <n v="0"/>
    <m/>
    <m/>
  </r>
  <r>
    <m/>
    <m/>
    <x v="1"/>
    <m/>
    <x v="2"/>
    <m/>
    <m/>
    <x v="1"/>
    <x v="2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51A289-81D0-402F-AAD0-78A46F7454B7}" name="DinamicaViajes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A7:I13" firstHeaderRow="1" firstDataRow="3" firstDataCol="1" rowPageCount="2" colPageCount="1"/>
  <pivotFields count="30">
    <pivotField dataField="1" compact="0" outline="0" showAll="0"/>
    <pivotField compact="0" outline="0" showAll="0"/>
    <pivotField axis="axisPage" compact="0" outline="0" showAll="0">
      <items count="3">
        <item x="0"/>
        <item x="1"/>
        <item t="default"/>
      </items>
    </pivotField>
    <pivotField compact="0" outline="0" showAll="0"/>
    <pivotField axis="axisRow" compact="0" outline="0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Page" compact="0" outline="0" showAll="0">
      <items count="3">
        <item x="0"/>
        <item x="1"/>
        <item t="default"/>
      </items>
    </pivotField>
    <pivotField axis="axisCol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2">
    <field x="8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pageFields count="2">
    <pageField fld="7" hier="-1"/>
    <pageField fld="2" hier="-1"/>
  </pageFields>
  <dataFields count="2">
    <dataField name="Viajes" fld="0" subtotal="count" baseField="0" baseItem="0" numFmtId="3"/>
    <dataField name="Costo total" fld="27" baseField="0" baseItem="0" numFmtId="168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8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8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8" count="1" selected="0">
            <x v="2"/>
          </reference>
        </references>
      </pivotArea>
    </chartFormat>
  </chartFormat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E3099-D38D-47D9-A7AA-126E9DCE5B39}">
  <dimension ref="A1:I24"/>
  <sheetViews>
    <sheetView showGridLines="0" tabSelected="1" workbookViewId="0"/>
  </sheetViews>
  <sheetFormatPr baseColWidth="10" defaultRowHeight="13.8" x14ac:dyDescent="0.25"/>
  <cols>
    <col min="1" max="1" width="16.21875" style="7" bestFit="1" customWidth="1"/>
    <col min="2" max="8" width="10.6640625" style="7" bestFit="1" customWidth="1"/>
    <col min="9" max="9" width="14.77734375" style="7" bestFit="1" customWidth="1"/>
    <col min="10" max="16384" width="11.5546875" style="7"/>
  </cols>
  <sheetData>
    <row r="1" spans="1:9" ht="24.6" x14ac:dyDescent="0.4">
      <c r="A1" s="11" t="s">
        <v>81</v>
      </c>
    </row>
    <row r="2" spans="1:9" x14ac:dyDescent="0.25">
      <c r="A2" s="12" t="s">
        <v>82</v>
      </c>
    </row>
    <row r="4" spans="1:9" ht="14.4" x14ac:dyDescent="0.3">
      <c r="A4" s="8" t="s">
        <v>7</v>
      </c>
      <c r="B4" t="s">
        <v>75</v>
      </c>
    </row>
    <row r="5" spans="1:9" ht="14.4" x14ac:dyDescent="0.3">
      <c r="A5" s="8" t="s">
        <v>2</v>
      </c>
      <c r="B5" t="s">
        <v>75</v>
      </c>
    </row>
    <row r="7" spans="1:9" ht="14.4" x14ac:dyDescent="0.3">
      <c r="A7"/>
      <c r="B7" s="8" t="s">
        <v>8</v>
      </c>
      <c r="C7" s="8" t="s">
        <v>80</v>
      </c>
      <c r="D7"/>
      <c r="E7"/>
      <c r="F7"/>
      <c r="G7"/>
      <c r="H7"/>
      <c r="I7"/>
    </row>
    <row r="8" spans="1:9" ht="14.4" x14ac:dyDescent="0.3">
      <c r="A8"/>
      <c r="B8" t="s">
        <v>48</v>
      </c>
      <c r="C8"/>
      <c r="D8" t="s">
        <v>35</v>
      </c>
      <c r="E8"/>
      <c r="F8" t="s">
        <v>73</v>
      </c>
      <c r="G8"/>
      <c r="H8" t="s">
        <v>77</v>
      </c>
      <c r="I8" t="s">
        <v>78</v>
      </c>
    </row>
    <row r="9" spans="1:9" ht="14.4" x14ac:dyDescent="0.3">
      <c r="A9" s="8" t="s">
        <v>4</v>
      </c>
      <c r="B9" t="s">
        <v>76</v>
      </c>
      <c r="C9" t="s">
        <v>79</v>
      </c>
      <c r="D9" t="s">
        <v>76</v>
      </c>
      <c r="E9" t="s">
        <v>79</v>
      </c>
      <c r="F9" t="s">
        <v>76</v>
      </c>
      <c r="G9" t="s">
        <v>79</v>
      </c>
      <c r="H9"/>
      <c r="I9"/>
    </row>
    <row r="10" spans="1:9" ht="14.4" x14ac:dyDescent="0.3">
      <c r="A10" t="s">
        <v>47</v>
      </c>
      <c r="B10" s="9">
        <v>1</v>
      </c>
      <c r="C10" s="10">
        <v>0</v>
      </c>
      <c r="D10" s="9"/>
      <c r="E10" s="10"/>
      <c r="F10" s="9"/>
      <c r="G10" s="10"/>
      <c r="H10" s="9">
        <v>1</v>
      </c>
      <c r="I10" s="10">
        <v>0</v>
      </c>
    </row>
    <row r="11" spans="1:9" ht="14.4" x14ac:dyDescent="0.3">
      <c r="A11" t="s">
        <v>32</v>
      </c>
      <c r="B11" s="9"/>
      <c r="C11" s="10"/>
      <c r="D11" s="9">
        <v>1</v>
      </c>
      <c r="E11" s="10">
        <v>250000</v>
      </c>
      <c r="F11" s="9"/>
      <c r="G11" s="10"/>
      <c r="H11" s="9">
        <v>1</v>
      </c>
      <c r="I11" s="10">
        <v>250000</v>
      </c>
    </row>
    <row r="12" spans="1:9" ht="14.4" x14ac:dyDescent="0.3">
      <c r="A12" t="s">
        <v>73</v>
      </c>
      <c r="B12" s="9"/>
      <c r="C12" s="10"/>
      <c r="D12" s="9"/>
      <c r="E12" s="10"/>
      <c r="F12" s="9"/>
      <c r="G12" s="10"/>
      <c r="H12" s="9"/>
      <c r="I12" s="10"/>
    </row>
    <row r="13" spans="1:9" ht="14.4" x14ac:dyDescent="0.3">
      <c r="A13" t="s">
        <v>74</v>
      </c>
      <c r="B13" s="9">
        <v>1</v>
      </c>
      <c r="C13" s="10">
        <v>0</v>
      </c>
      <c r="D13" s="9">
        <v>1</v>
      </c>
      <c r="E13" s="10">
        <v>250000</v>
      </c>
      <c r="F13" s="9"/>
      <c r="G13" s="10"/>
      <c r="H13" s="9">
        <v>2</v>
      </c>
      <c r="I13" s="10">
        <v>250000</v>
      </c>
    </row>
    <row r="14" spans="1:9" ht="14.4" x14ac:dyDescent="0.3">
      <c r="A14"/>
      <c r="B14"/>
      <c r="C14"/>
    </row>
    <row r="15" spans="1:9" ht="14.4" x14ac:dyDescent="0.3">
      <c r="A15"/>
      <c r="B15"/>
      <c r="C15"/>
    </row>
    <row r="16" spans="1:9" ht="14.4" x14ac:dyDescent="0.3">
      <c r="A16"/>
      <c r="B16"/>
      <c r="C16"/>
    </row>
    <row r="17" spans="1:3" ht="14.4" x14ac:dyDescent="0.3">
      <c r="A17"/>
      <c r="B17"/>
      <c r="C17"/>
    </row>
    <row r="18" spans="1:3" ht="14.4" x14ac:dyDescent="0.3">
      <c r="A18"/>
      <c r="B18"/>
      <c r="C18"/>
    </row>
    <row r="19" spans="1:3" ht="14.4" x14ac:dyDescent="0.3">
      <c r="A19"/>
      <c r="B19"/>
      <c r="C19"/>
    </row>
    <row r="20" spans="1:3" ht="14.4" x14ac:dyDescent="0.3">
      <c r="A20"/>
      <c r="B20"/>
      <c r="C20"/>
    </row>
    <row r="21" spans="1:3" ht="14.4" x14ac:dyDescent="0.3">
      <c r="A21"/>
      <c r="B21"/>
      <c r="C21"/>
    </row>
    <row r="22" spans="1:3" ht="14.4" x14ac:dyDescent="0.3">
      <c r="A22"/>
      <c r="B22"/>
      <c r="C22"/>
    </row>
    <row r="23" spans="1:3" ht="14.4" x14ac:dyDescent="0.3">
      <c r="A23"/>
      <c r="B23"/>
      <c r="C23"/>
    </row>
    <row r="24" spans="1:3" ht="14.4" x14ac:dyDescent="0.3">
      <c r="A24"/>
      <c r="B24"/>
      <c r="C24"/>
    </row>
  </sheetData>
  <pageMargins left="0.7" right="0.7" top="0.75" bottom="0.75" header="0.3" footer="0.3"/>
  <pageSetup paperSize="267" orientation="portrait" horizontalDpi="203" verticalDpi="20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7" width="11" customWidth="1"/>
    <col min="8" max="8" width="19" customWidth="1"/>
    <col min="9" max="11" width="11" customWidth="1"/>
    <col min="12" max="14" width="12" customWidth="1"/>
    <col min="15" max="15" width="11" customWidth="1"/>
    <col min="16" max="16" width="18" customWidth="1"/>
    <col min="17" max="17" width="11" customWidth="1"/>
    <col min="18" max="19" width="13" customWidth="1"/>
    <col min="20" max="20" width="11" customWidth="1"/>
    <col min="21" max="21" width="17" customWidth="1"/>
    <col min="22" max="22" width="18" customWidth="1"/>
    <col min="23" max="23" width="16" customWidth="1"/>
    <col min="24" max="24" width="22" customWidth="1"/>
    <col min="25" max="25" width="20" customWidth="1"/>
    <col min="26" max="26" width="23" customWidth="1"/>
    <col min="27" max="27" width="15" customWidth="1"/>
    <col min="28" max="28" width="11" customWidth="1"/>
    <col min="29" max="29" width="16" customWidth="1"/>
    <col min="30" max="30" width="15" customWidth="1"/>
  </cols>
  <sheetData>
    <row r="1" spans="1:3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3">
      <c r="A2" s="2">
        <v>7983</v>
      </c>
      <c r="B2" s="3">
        <v>46289</v>
      </c>
      <c r="C2" s="2" t="s">
        <v>30</v>
      </c>
      <c r="D2" s="2" t="s">
        <v>31</v>
      </c>
      <c r="E2" s="2" t="s">
        <v>32</v>
      </c>
      <c r="F2" s="2" t="s">
        <v>33</v>
      </c>
      <c r="G2" s="2" t="s">
        <v>32</v>
      </c>
      <c r="H2" s="2" t="s">
        <v>34</v>
      </c>
      <c r="I2" s="2" t="s">
        <v>35</v>
      </c>
      <c r="J2" s="2" t="s">
        <v>36</v>
      </c>
      <c r="K2" s="2" t="s">
        <v>37</v>
      </c>
      <c r="L2" s="2" t="s">
        <v>38</v>
      </c>
      <c r="M2" s="2"/>
      <c r="N2" s="2"/>
      <c r="O2" s="2" t="s">
        <v>39</v>
      </c>
      <c r="P2" s="2" t="s">
        <v>40</v>
      </c>
      <c r="Q2" s="2">
        <v>1</v>
      </c>
      <c r="R2" s="2" t="s">
        <v>41</v>
      </c>
      <c r="S2" s="2"/>
      <c r="T2" s="2" t="s">
        <v>42</v>
      </c>
      <c r="U2" s="2" t="s">
        <v>43</v>
      </c>
      <c r="V2" s="2" t="s">
        <v>44</v>
      </c>
      <c r="W2" s="4">
        <v>5.5</v>
      </c>
      <c r="X2" s="2">
        <v>12</v>
      </c>
      <c r="Y2" s="2">
        <v>12</v>
      </c>
      <c r="Z2" s="2">
        <v>0</v>
      </c>
      <c r="AA2" s="5">
        <v>48.2</v>
      </c>
      <c r="AB2" s="6">
        <v>250000</v>
      </c>
      <c r="AC2" s="2" t="s">
        <v>45</v>
      </c>
      <c r="AD2" s="3">
        <v>46295</v>
      </c>
    </row>
    <row r="3" spans="1:30" x14ac:dyDescent="0.3">
      <c r="A3" s="2">
        <v>7984</v>
      </c>
      <c r="B3" s="3">
        <v>46289</v>
      </c>
      <c r="C3" s="2" t="s">
        <v>30</v>
      </c>
      <c r="D3" s="2" t="s">
        <v>46</v>
      </c>
      <c r="E3" s="2" t="s">
        <v>47</v>
      </c>
      <c r="F3" s="2"/>
      <c r="G3" s="2" t="s">
        <v>47</v>
      </c>
      <c r="H3" s="2" t="s">
        <v>34</v>
      </c>
      <c r="I3" s="2" t="s">
        <v>48</v>
      </c>
      <c r="J3" s="2" t="s">
        <v>49</v>
      </c>
      <c r="K3" s="2" t="s">
        <v>50</v>
      </c>
      <c r="L3" s="2"/>
      <c r="M3" s="2"/>
      <c r="N3" s="2"/>
      <c r="O3" s="2" t="s">
        <v>51</v>
      </c>
      <c r="P3" s="2" t="s">
        <v>40</v>
      </c>
      <c r="Q3" s="2">
        <v>1</v>
      </c>
      <c r="R3" s="2" t="s">
        <v>52</v>
      </c>
      <c r="S3" s="2">
        <v>4</v>
      </c>
      <c r="T3" s="2" t="s">
        <v>42</v>
      </c>
      <c r="U3" s="2" t="s">
        <v>53</v>
      </c>
      <c r="V3" s="2" t="s">
        <v>54</v>
      </c>
      <c r="W3" s="4">
        <v>4.47</v>
      </c>
      <c r="X3" s="2">
        <v>10</v>
      </c>
      <c r="Y3" s="2">
        <v>9</v>
      </c>
      <c r="Z3" s="2">
        <v>1</v>
      </c>
      <c r="AA3" s="5">
        <v>39</v>
      </c>
      <c r="AB3" s="6">
        <v>0</v>
      </c>
      <c r="AC3" s="2"/>
      <c r="AD3" s="3"/>
    </row>
  </sheetData>
  <autoFilter ref="A1:AD3" xr:uid="{00000000-0009-0000-00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4" customWidth="1"/>
    <col min="2" max="2" width="18" customWidth="1"/>
    <col min="3" max="3" width="26" customWidth="1"/>
    <col min="4" max="15" width="7" customWidth="1"/>
    <col min="16" max="16" width="10" customWidth="1"/>
  </cols>
  <sheetData>
    <row r="1" spans="1:16" ht="25.95" customHeight="1" x14ac:dyDescent="0.3">
      <c r="A1" s="1" t="s">
        <v>8</v>
      </c>
      <c r="B1" s="1" t="s">
        <v>55</v>
      </c>
      <c r="C1" s="1" t="s">
        <v>56</v>
      </c>
      <c r="D1" s="1" t="s">
        <v>57</v>
      </c>
      <c r="E1" s="1" t="s">
        <v>58</v>
      </c>
      <c r="F1" s="1" t="s">
        <v>59</v>
      </c>
      <c r="G1" s="1" t="s">
        <v>60</v>
      </c>
      <c r="H1" s="1" t="s">
        <v>61</v>
      </c>
      <c r="I1" s="1" t="s">
        <v>62</v>
      </c>
      <c r="J1" s="1" t="s">
        <v>63</v>
      </c>
      <c r="K1" s="1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1" t="s">
        <v>69</v>
      </c>
    </row>
    <row r="2" spans="1:16" x14ac:dyDescent="0.3">
      <c r="A2" s="2" t="s">
        <v>48</v>
      </c>
      <c r="B2" s="2" t="s">
        <v>70</v>
      </c>
      <c r="C2" s="2" t="s">
        <v>71</v>
      </c>
      <c r="D2" s="2">
        <v>0</v>
      </c>
      <c r="E2" s="2">
        <v>0</v>
      </c>
      <c r="F2" s="2">
        <v>6</v>
      </c>
      <c r="G2" s="2">
        <v>1</v>
      </c>
      <c r="H2" s="2">
        <v>13</v>
      </c>
      <c r="I2" s="2">
        <v>11</v>
      </c>
      <c r="J2" s="2">
        <v>7</v>
      </c>
      <c r="K2" s="2">
        <v>23</v>
      </c>
      <c r="L2" s="2">
        <v>42</v>
      </c>
      <c r="M2" s="2">
        <v>0</v>
      </c>
      <c r="N2" s="2">
        <v>0</v>
      </c>
      <c r="O2" s="2">
        <v>0</v>
      </c>
      <c r="P2" s="2">
        <v>103</v>
      </c>
    </row>
    <row r="3" spans="1:16" x14ac:dyDescent="0.3">
      <c r="A3" s="2" t="s">
        <v>35</v>
      </c>
      <c r="B3" s="2" t="s">
        <v>72</v>
      </c>
      <c r="C3" s="2" t="s">
        <v>33</v>
      </c>
      <c r="D3" s="2">
        <v>0</v>
      </c>
      <c r="E3" s="2">
        <v>0</v>
      </c>
      <c r="F3" s="2">
        <v>0</v>
      </c>
      <c r="G3" s="2">
        <v>0</v>
      </c>
      <c r="H3" s="2">
        <v>5</v>
      </c>
      <c r="I3" s="2">
        <v>9</v>
      </c>
      <c r="J3" s="2">
        <v>12</v>
      </c>
      <c r="K3" s="2">
        <v>30</v>
      </c>
      <c r="L3" s="2">
        <v>39</v>
      </c>
      <c r="M3" s="2">
        <v>0</v>
      </c>
      <c r="N3" s="2">
        <v>0</v>
      </c>
      <c r="O3" s="2">
        <v>0</v>
      </c>
      <c r="P3" s="2">
        <v>95</v>
      </c>
    </row>
  </sheetData>
  <autoFilter ref="A1:P3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Viajes</vt:lpstr>
      <vt:lpstr>Conteo por 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Manuel Serrate</cp:lastModifiedBy>
  <dcterms:created xsi:type="dcterms:W3CDTF">2026-09-27T20:40:06Z</dcterms:created>
  <dcterms:modified xsi:type="dcterms:W3CDTF">2026-09-27T20:40:09Z</dcterms:modified>
</cp:coreProperties>
</file>